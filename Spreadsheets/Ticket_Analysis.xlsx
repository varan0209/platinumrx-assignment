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" sheetId="1" state="visible" r:id="rId1"/>
    <sheet xmlns:r="http://schemas.openxmlformats.org/officeDocument/2006/relationships" name="feedback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t="inlineStr">
        <is>
          <t>cms_id</t>
        </is>
      </c>
      <c r="B1" t="inlineStr">
        <is>
          <t>created_at</t>
        </is>
      </c>
      <c r="C1" t="inlineStr">
        <is>
          <t>closed_at</t>
        </is>
      </c>
      <c r="D1" t="inlineStr">
        <is>
          <t>outlet</t>
        </is>
      </c>
      <c r="E1" t="inlineStr">
        <is>
          <t>Same Day?</t>
        </is>
      </c>
      <c r="F1" t="inlineStr">
        <is>
          <t>Same Hour?</t>
        </is>
      </c>
    </row>
    <row r="2">
      <c r="A2" t="inlineStr">
        <is>
          <t>TKT-1001</t>
        </is>
      </c>
      <c r="B2" s="1" t="n">
        <v>44505.38541666666</v>
      </c>
      <c r="C2" s="1" t="n">
        <v>44505.40277777778</v>
      </c>
      <c r="D2" t="inlineStr">
        <is>
          <t>Amherst</t>
        </is>
      </c>
      <c r="E2">
        <f>INT(B2)=INT(C2)</f>
        <v/>
      </c>
      <c r="F2">
        <f>HOUR(B2)=HOUR(C2)</f>
        <v/>
      </c>
    </row>
    <row r="3">
      <c r="A3" t="inlineStr">
        <is>
          <t>TKT-1002</t>
        </is>
      </c>
      <c r="B3" s="1" t="n">
        <v>44505.67361111111</v>
      </c>
      <c r="C3" s="1" t="n">
        <v>44505.77430555555</v>
      </c>
      <c r="D3" t="inlineStr">
        <is>
          <t>Amherst</t>
        </is>
      </c>
      <c r="E3">
        <f>INT(B3)=INT(C3)</f>
        <v/>
      </c>
      <c r="F3">
        <f>HOUR(B3)=HOUR(C3)</f>
        <v/>
      </c>
    </row>
    <row r="4">
      <c r="A4" t="inlineStr">
        <is>
          <t>TKT-1003</t>
        </is>
      </c>
      <c r="B4" s="1" t="n">
        <v>44506.42013888889</v>
      </c>
      <c r="C4" s="1" t="n">
        <v>44507.42013888889</v>
      </c>
      <c r="D4" t="inlineStr">
        <is>
          <t>Buffalo</t>
        </is>
      </c>
      <c r="E4">
        <f>INT(B4)=INT(C4)</f>
        <v/>
      </c>
      <c r="F4">
        <f>HOUR(B4)=HOUR(C4)</f>
        <v/>
      </c>
    </row>
    <row r="5">
      <c r="A5" t="inlineStr">
        <is>
          <t>TKT-1004</t>
        </is>
      </c>
      <c r="B5" s="1" t="n">
        <v>44506.59722222222</v>
      </c>
      <c r="C5" s="1" t="n">
        <v>44506.61805555555</v>
      </c>
      <c r="D5" t="inlineStr">
        <is>
          <t>Buffalo</t>
        </is>
      </c>
      <c r="E5">
        <f>INT(B5)=INT(C5)</f>
        <v/>
      </c>
      <c r="F5">
        <f>HOUR(B5)=HOUR(C5)</f>
        <v/>
      </c>
    </row>
    <row r="6">
      <c r="A6" t="inlineStr">
        <is>
          <t>TKT-1005</t>
        </is>
      </c>
      <c r="B6" s="1" t="n">
        <v>44507.36458333334</v>
      </c>
      <c r="C6" s="1" t="n">
        <v>44507.42708333334</v>
      </c>
      <c r="D6" t="inlineStr">
        <is>
          <t>Cupertino</t>
        </is>
      </c>
      <c r="E6">
        <f>INT(B6)=INT(C6)</f>
        <v/>
      </c>
      <c r="F6">
        <f>HOUR(B6)=HOUR(C6)</f>
        <v/>
      </c>
    </row>
    <row r="7">
      <c r="A7" t="inlineStr">
        <is>
          <t>TKT-1006</t>
        </is>
      </c>
      <c r="B7" s="1" t="n">
        <v>44507.375</v>
      </c>
      <c r="C7" s="1" t="n">
        <v>44507.41319444445</v>
      </c>
      <c r="D7" t="inlineStr">
        <is>
          <t>Cupertino</t>
        </is>
      </c>
      <c r="E7">
        <f>INT(B7)=INT(C7)</f>
        <v/>
      </c>
      <c r="F7">
        <f>HOUR(B7)=HOUR(C7)</f>
        <v/>
      </c>
    </row>
    <row r="8">
      <c r="A8" t="inlineStr">
        <is>
          <t>TKT-1007</t>
        </is>
      </c>
      <c r="B8" s="1" t="n">
        <v>44508.47916666666</v>
      </c>
      <c r="C8" s="1" t="n">
        <v>44508.5</v>
      </c>
      <c r="D8" t="inlineStr">
        <is>
          <t>Amherst</t>
        </is>
      </c>
      <c r="E8">
        <f>INT(B8)=INT(C8)</f>
        <v/>
      </c>
      <c r="F8">
        <f>HOUR(B8)=HOUR(C8)</f>
        <v/>
      </c>
    </row>
    <row r="9">
      <c r="A9" t="inlineStr">
        <is>
          <t>TKT-1008</t>
        </is>
      </c>
      <c r="B9" s="1" t="n">
        <v>44508.52083333334</v>
      </c>
      <c r="C9" s="1" t="n">
        <v>44508.52430555555</v>
      </c>
      <c r="D9" t="inlineStr">
        <is>
          <t>Buffalo</t>
        </is>
      </c>
      <c r="E9">
        <f>INT(B9)=INT(C9)</f>
        <v/>
      </c>
      <c r="F9">
        <f>HOUR(B9)=HOUR(C9)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t="inlineStr">
        <is>
          <t>cms_id</t>
        </is>
      </c>
      <c r="B1" t="inlineStr">
        <is>
          <t>rating</t>
        </is>
      </c>
      <c r="C1" t="inlineStr">
        <is>
          <t>comment</t>
        </is>
      </c>
      <c r="D1" t="inlineStr">
        <is>
          <t>created_at_from_ticket</t>
        </is>
      </c>
    </row>
    <row r="2">
      <c r="A2" t="inlineStr">
        <is>
          <t>TKT-1001</t>
        </is>
      </c>
      <c r="B2" t="n">
        <v>5</v>
      </c>
      <c r="C2" t="inlineStr">
        <is>
          <t>Great support</t>
        </is>
      </c>
      <c r="D2">
        <f>VLOOKUP(A2,ticket!$A:$B,2,FALSE)</f>
        <v/>
      </c>
    </row>
    <row r="3">
      <c r="A3" t="inlineStr">
        <is>
          <t>TKT-1004</t>
        </is>
      </c>
      <c r="B3" t="n">
        <v>3</v>
      </c>
      <c r="C3" t="inlineStr">
        <is>
          <t>Okay</t>
        </is>
      </c>
      <c r="D3">
        <f>VLOOKUP(A3,ticket!$A:$B,2,FALSE)</f>
        <v/>
      </c>
    </row>
    <row r="4">
      <c r="A4" t="inlineStr">
        <is>
          <t>TKT-1006</t>
        </is>
      </c>
      <c r="B4" t="n">
        <v>4</v>
      </c>
      <c r="C4" t="inlineStr">
        <is>
          <t>Quick fix</t>
        </is>
      </c>
      <c r="D4">
        <f>VLOOKUP(A4,ticket!$A:$B,2,FALSE)</f>
        <v/>
      </c>
    </row>
    <row r="5">
      <c r="A5" t="inlineStr">
        <is>
          <t>TKT-1008</t>
        </is>
      </c>
      <c r="B5" t="n">
        <v>2</v>
      </c>
      <c r="C5" t="inlineStr">
        <is>
          <t>Took longer than expected</t>
        </is>
      </c>
      <c r="D5">
        <f>VLOOKUP(A5,ticket!$A:$B,2,FALSE)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t="inlineStr">
        <is>
          <t>Outlet</t>
        </is>
      </c>
      <c r="B1" t="inlineStr">
        <is>
          <t>CountSameDayAndHour</t>
        </is>
      </c>
      <c r="C1" t="inlineStr">
        <is>
          <t>CountSameDay</t>
        </is>
      </c>
      <c r="D1" t="inlineStr">
        <is>
          <t>CountSameHour</t>
        </is>
      </c>
    </row>
    <row r="2">
      <c r="A2" t="inlineStr">
        <is>
          <t>Amherst</t>
        </is>
      </c>
      <c r="B2">
        <f>COUNTIFS(ticket!$D:$D,$A2,ticket!$E:$E,TRUE,ticket!$F:$F,TRUE)</f>
        <v/>
      </c>
      <c r="C2">
        <f>COUNTIFS(ticket!$D:$D,$A2,ticket!$E:$E,TRUE)</f>
        <v/>
      </c>
      <c r="D2">
        <f>COUNTIFS(ticket!$D:$D,$A2,ticket!$F:$F,TRUE)</f>
        <v/>
      </c>
    </row>
    <row r="3">
      <c r="A3" t="inlineStr">
        <is>
          <t>Buffalo</t>
        </is>
      </c>
      <c r="B3">
        <f>COUNTIFS(ticket!$D:$D,$A3,ticket!$E:$E,TRUE,ticket!$F:$F,TRUE)</f>
        <v/>
      </c>
      <c r="C3">
        <f>COUNTIFS(ticket!$D:$D,$A3,ticket!$E:$E,TRUE)</f>
        <v/>
      </c>
      <c r="D3">
        <f>COUNTIFS(ticket!$D:$D,$A3,ticket!$F:$F,TRUE)</f>
        <v/>
      </c>
    </row>
    <row r="4">
      <c r="A4" t="inlineStr">
        <is>
          <t>Cupertino</t>
        </is>
      </c>
      <c r="B4">
        <f>COUNTIFS(ticket!$D:$D,$A4,ticket!$E:$E,TRUE,ticket!$F:$F,TRUE)</f>
        <v/>
      </c>
      <c r="C4">
        <f>COUNTIFS(ticket!$D:$D,$A4,ticket!$E:$E,TRUE)</f>
        <v/>
      </c>
      <c r="D4">
        <f>COUNTIFS(ticket!$D:$D,$A4,ticket!$F:$F,TRUE)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2025-12-02T19:11:38Z</dcterms:created>
  <dcterms:modified xmlns:dcterms="http://purl.org/dc/terms/" xmlns:xsi="http://www.w3.org/2001/XMLSchema-instance" xsi:type="dcterms:W3CDTF">2025-12-02T19:11:38Z</dcterms:modified>
</cp:coreProperties>
</file>